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8975" windowHeight="9300" tabRatio="864" firstSheet="3" activeTab="3"/>
  </bookViews>
  <sheets>
    <sheet name="Facilities" sheetId="281" r:id="rId1"/>
    <sheet name="Inventory" sheetId="312" r:id="rId2"/>
    <sheet name="RegressHolts" sheetId="319" r:id="rId3"/>
    <sheet name="Sheet1" sheetId="1" r:id="rId4"/>
  </sheets>
  <functionGroups builtInGroupCount="17"/>
  <definedNames>
    <definedName name="solver_adj" localSheetId="0" hidden="1">Facilities!$B$14:$H$18</definedName>
    <definedName name="solver_eng" localSheetId="0" hidden="1">1</definedName>
    <definedName name="solver_lhs1" localSheetId="0" hidden="1">Facilities!$B$14:$G$18</definedName>
    <definedName name="solver_lhs2" localSheetId="0" hidden="1">Facilities!$B$22:$B$26</definedName>
    <definedName name="solver_lhs3" localSheetId="0" hidden="1">Facilities!$B$29:$G$29</definedName>
    <definedName name="solver_lhs4" localSheetId="0" hidden="1">Facilities!$H$14:$H$18</definedName>
    <definedName name="solver_lhs5" localSheetId="0" hidden="1">Facilities!$B$14:$G$18</definedName>
    <definedName name="solver_lhs6" localSheetId="0" hidden="1">Facilities!$B$22:$B$26</definedName>
    <definedName name="solver_lhs7" localSheetId="0" hidden="1">Facilities!$B$29:$G$29</definedName>
    <definedName name="solver_lhs8" localSheetId="0" hidden="1">Facilities!$H$14:$H$18</definedName>
    <definedName name="solver_num" localSheetId="0" hidden="1">8</definedName>
    <definedName name="solver_opt" localSheetId="0" hidden="1">Facilities!$B$32</definedName>
    <definedName name="solver_rel1" localSheetId="0" hidden="1">3</definedName>
    <definedName name="solver_rel2" localSheetId="0" hidden="1">3</definedName>
    <definedName name="solver_rel3" localSheetId="0" hidden="1">2</definedName>
    <definedName name="solver_rel4" localSheetId="0" hidden="1">5</definedName>
    <definedName name="solver_rel5" localSheetId="0" hidden="1">3</definedName>
    <definedName name="solver_rel6" localSheetId="0" hidden="1">3</definedName>
    <definedName name="solver_rel7" localSheetId="0" hidden="1">2</definedName>
    <definedName name="solver_rel8" localSheetId="0" hidden="1">5</definedName>
    <definedName name="solver_rhs1" localSheetId="0" hidden="1">0</definedName>
    <definedName name="solver_rhs2" localSheetId="0" hidden="1">0</definedName>
    <definedName name="solver_rhs3" localSheetId="0" hidden="1">0</definedName>
    <definedName name="solver_rhs4" localSheetId="0" hidden="1">binary</definedName>
    <definedName name="solver_rhs5" localSheetId="0" hidden="1">0</definedName>
    <definedName name="solver_rhs6" localSheetId="0" hidden="1">0</definedName>
    <definedName name="solver_rhs7" localSheetId="0" hidden="1">0</definedName>
    <definedName name="solver_rhs8" localSheetId="0" hidden="1">binary</definedName>
    <definedName name="solver_typ" localSheetId="0" hidden="1">2</definedName>
    <definedName name="solver_val" localSheetId="0" hidden="1">0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2" i="281" l="1"/>
  <c r="B29" i="281"/>
  <c r="C29" i="281"/>
  <c r="D29" i="281"/>
  <c r="E29" i="281"/>
  <c r="F29" i="281"/>
  <c r="G29" i="281"/>
  <c r="B22" i="281"/>
  <c r="B23" i="281"/>
  <c r="B24" i="281"/>
  <c r="B25" i="281"/>
  <c r="B26" i="281"/>
</calcChain>
</file>

<file path=xl/sharedStrings.xml><?xml version="1.0" encoding="utf-8"?>
<sst xmlns="http://schemas.openxmlformats.org/spreadsheetml/2006/main" count="123" uniqueCount="95">
  <si>
    <t>Enter Demand:</t>
  </si>
  <si>
    <t>Capacity</t>
  </si>
  <si>
    <t>Demand</t>
  </si>
  <si>
    <t>DCity1</t>
  </si>
  <si>
    <t>DCity2</t>
  </si>
  <si>
    <t>DCity3</t>
  </si>
  <si>
    <t>DCity4</t>
  </si>
  <si>
    <t>DCity5</t>
  </si>
  <si>
    <t>DCity6</t>
  </si>
  <si>
    <t>SCity1</t>
  </si>
  <si>
    <t>SCity2</t>
  </si>
  <si>
    <t>SCity3</t>
  </si>
  <si>
    <t>SCity4</t>
  </si>
  <si>
    <t>SCity5</t>
  </si>
  <si>
    <t>Fixed Cost</t>
  </si>
  <si>
    <t>Inputs - Costs, Capacities, Demands</t>
  </si>
  <si>
    <t>Decision Variables</t>
  </si>
  <si>
    <t>Constraints</t>
  </si>
  <si>
    <t>Objective Function</t>
  </si>
  <si>
    <t>Supply City</t>
  </si>
  <si>
    <t>Fixed_x000D_
Cost ($)</t>
  </si>
  <si>
    <t>Demand City_x000D_
Production and Transportation Cost per 1,000 Units</t>
  </si>
  <si>
    <t>Demand City - Production Allocation (1000 Units)</t>
  </si>
  <si>
    <t>Plants_x000D_
(1=open)</t>
  </si>
  <si>
    <t>Excess Capacity</t>
  </si>
  <si>
    <t>Cost=</t>
  </si>
  <si>
    <t>Unmet Demand</t>
  </si>
  <si>
    <t>Cycle Inventory</t>
  </si>
  <si>
    <t>Inputs</t>
  </si>
  <si>
    <t>Outputs</t>
  </si>
  <si>
    <t>Safety Inventory</t>
  </si>
  <si>
    <t>Distribution during lead time</t>
  </si>
  <si>
    <t>Output</t>
  </si>
  <si>
    <t>Yearly Demand =</t>
  </si>
  <si>
    <t>Holding Cost (%) =</t>
  </si>
  <si>
    <t>Per Unit Cost ($) =</t>
  </si>
  <si>
    <t>Common Order Cost ($) =</t>
  </si>
  <si>
    <t>Optimal Order Quantity (units) =</t>
  </si>
  <si>
    <t>Number of shipments (per year) =</t>
  </si>
  <si>
    <t>Cycle Inventory (units) =</t>
  </si>
  <si>
    <t>Order Frequency (days) =</t>
  </si>
  <si>
    <t>Average Weekly Demand =</t>
  </si>
  <si>
    <t>Lead Time</t>
  </si>
  <si>
    <t>Standard Deviation of weekly demand =</t>
  </si>
  <si>
    <t>Target cycle service level (CSL) =</t>
  </si>
  <si>
    <t>Mean Demand during lead time =</t>
  </si>
  <si>
    <t>Standard Deviation during lead time =</t>
  </si>
  <si>
    <t>Safety Inventory (ss) =</t>
  </si>
  <si>
    <t>Re-order Point (ROP) =</t>
  </si>
  <si>
    <t>Transportation Input</t>
  </si>
  <si>
    <t>Modes</t>
  </si>
  <si>
    <t>Truck</t>
  </si>
  <si>
    <t>Shipping Cost</t>
  </si>
  <si>
    <t>Holding Cost</t>
  </si>
  <si>
    <t>Per Unit Cost</t>
  </si>
  <si>
    <t>st. dev. Of weekly demand</t>
  </si>
  <si>
    <t>Desired CSL</t>
  </si>
  <si>
    <t>Lead Time (weeks)</t>
  </si>
  <si>
    <t>Rail</t>
  </si>
  <si>
    <t>Air</t>
  </si>
  <si>
    <t>Long Beach</t>
  </si>
  <si>
    <t>Santa Clara</t>
  </si>
  <si>
    <t>Riverside</t>
  </si>
  <si>
    <t>Oakland</t>
  </si>
  <si>
    <t>San Gabriel Valley</t>
  </si>
  <si>
    <t>San Francisco</t>
  </si>
  <si>
    <t>Fresno</t>
  </si>
  <si>
    <t>Los Angeles</t>
  </si>
  <si>
    <t>Sacramento</t>
  </si>
  <si>
    <t>Unit Weight</t>
  </si>
  <si>
    <t>San Diego</t>
  </si>
  <si>
    <t>San Jose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</si>
  <si>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</si>
  <si>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</si>
  <si>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</si>
  <si>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</si>
  <si>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</si>
  <si>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</si>
  <si>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</si>
  <si>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</si>
  <si>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</si>
  <si>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</si>
  <si>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</si>
  <si>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</si>
  <si>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</si>
  <si>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</si>
  <si>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</si>
  <si>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</si>
  <si>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</si>
  <si>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</si>
  <si>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</si>
  <si>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</si>
  <si>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</si>
  <si>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</si>
  <si>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X Variable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</si>
</sst>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2"/>
      <color rgb="FF000000"/>
      <name val="Times New Roman"/>
      <family val="1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wrapText="1"/>
    </xf>
    <xf numFmtId="3" fontId="0" fillId="0" borderId="0" xfId="0" applyNumberFormat="1"/>
    <xf numFmtId="0" fontId="3" fillId="0" borderId="0" xfId="0" applyFont="1"/>
    <xf numFmtId="0" fontId="4" fillId="0" borderId="0" xfId="0" applyFont="1"/>
    <xf numFmtId="0" fontId="0" fillId="0" borderId="0" xfId="0"/>
    <xf numFmtId="0" fontId="2" fillId="0" borderId="0" xfId="0" applyFont="1"/>
    <xf numFmtId="0" fontId="0" fillId="0" borderId="0" xfId="0" applyFill="1" applyBorder="1" applyAlignment="1"/>
    <xf numFmtId="0" fontId="0" fillId="0" borderId="1" xfId="0" applyFill="1" applyBorder="1" applyAlignment="1"/>
    <xf numFmtId="0" fontId="3" fillId="0" borderId="2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Continuous"/>
    </xf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21</xdr:row>
          <xdr:rowOff>19050</xdr:rowOff>
        </xdr:from>
        <xdr:to>
          <xdr:col>5</xdr:col>
          <xdr:colOff>428625</xdr:colOff>
          <xdr:row>23</xdr:row>
          <xdr:rowOff>95250</xdr:rowOff>
        </xdr:to>
        <xdr:sp macro="" textlink="">
          <xdr:nvSpPr>
            <xdr:cNvPr id="28673" name="Solver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Solver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866775</xdr:colOff>
          <xdr:row>0</xdr:row>
          <xdr:rowOff>180975</xdr:rowOff>
        </xdr:from>
        <xdr:to>
          <xdr:col>3</xdr:col>
          <xdr:colOff>1038225</xdr:colOff>
          <xdr:row>2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Choose Module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32"/>
  <sheetViews>
    <sheetView workbookViewId="0">
      <selection activeCell="I21" sqref="I21"/>
    </sheetView>
  </sheetViews>
  <sheetFormatPr defaultRowHeight="15" x14ac:dyDescent="0.25"/>
  <cols>
    <col min="1" max="1" width="18.28515625" bestFit="1" customWidth="1"/>
  </cols>
  <sheetData>
    <row r="1" spans="1:9" x14ac:dyDescent="0.25">
      <c r="A1" s="12" t="s">
        <v>15</v>
      </c>
      <c r="B1" s="11"/>
      <c r="C1" s="11"/>
      <c r="D1" s="11"/>
    </row>
    <row r="2" spans="1:9" ht="27" customHeight="1" x14ac:dyDescent="0.25">
      <c r="A2" s="11" t="s">
        <v>19</v>
      </c>
      <c r="B2" s="14" t="s">
        <v>21</v>
      </c>
      <c r="C2" s="15"/>
      <c r="D2" s="15"/>
      <c r="E2" s="15"/>
      <c r="F2" s="15"/>
      <c r="G2" s="15"/>
      <c r="H2" s="13" t="s">
        <v>20</v>
      </c>
      <c r="I2" s="11" t="s">
        <v>1</v>
      </c>
    </row>
    <row r="3" spans="1:9" x14ac:dyDescent="0.25">
      <c r="A3" s="11"/>
      <c r="B3" t="s">
        <v>65</v>
      </c>
      <c r="C3" t="s">
        <v>66</v>
      </c>
      <c r="D3" t="s">
        <v>68</v>
      </c>
      <c r="E3" t="s">
        <v>70</v>
      </c>
      <c r="F3" t="s">
        <v>71</v>
      </c>
      <c r="G3" t="s">
        <v>67</v>
      </c>
      <c r="H3" s="11"/>
      <c r="I3" s="11"/>
    </row>
    <row r="4" spans="1:9" x14ac:dyDescent="0.25">
      <c r="A4" t="s">
        <v>60</v>
      </c>
      <c r="B4" s="5">
        <v>774</v>
      </c>
      <c r="C4" s="5">
        <v>682</v>
      </c>
      <c r="D4" s="5">
        <v>22</v>
      </c>
      <c r="E4" s="5">
        <v>445</v>
      </c>
      <c r="F4" s="5">
        <v>770</v>
      </c>
      <c r="G4" s="5">
        <v>237</v>
      </c>
      <c r="H4" s="5">
        <v>2200</v>
      </c>
      <c r="I4" s="5">
        <v>4</v>
      </c>
    </row>
    <row r="5" spans="1:9" x14ac:dyDescent="0.25">
      <c r="A5" t="s">
        <v>61</v>
      </c>
      <c r="B5" s="5">
        <v>88</v>
      </c>
      <c r="C5" s="5">
        <v>10</v>
      </c>
      <c r="D5" s="5">
        <v>676</v>
      </c>
      <c r="E5" s="5">
        <v>308</v>
      </c>
      <c r="F5" s="5">
        <v>233</v>
      </c>
      <c r="G5" s="5">
        <v>911</v>
      </c>
      <c r="H5" s="5">
        <v>3100</v>
      </c>
      <c r="I5" s="5">
        <v>6</v>
      </c>
    </row>
    <row r="6" spans="1:9" x14ac:dyDescent="0.25">
      <c r="A6" t="s">
        <v>62</v>
      </c>
      <c r="B6" s="5">
        <v>22</v>
      </c>
      <c r="C6" s="5">
        <v>80</v>
      </c>
      <c r="D6" s="5">
        <v>725</v>
      </c>
      <c r="E6" s="5">
        <v>347</v>
      </c>
      <c r="F6" s="5">
        <v>159</v>
      </c>
      <c r="G6" s="5">
        <v>960</v>
      </c>
      <c r="H6" s="5">
        <v>3700</v>
      </c>
      <c r="I6" s="5">
        <v>7</v>
      </c>
    </row>
    <row r="7" spans="1:9" x14ac:dyDescent="0.25">
      <c r="A7" t="s">
        <v>63</v>
      </c>
      <c r="B7" s="5">
        <v>852</v>
      </c>
      <c r="C7" s="5">
        <v>768</v>
      </c>
      <c r="D7" s="5">
        <v>117</v>
      </c>
      <c r="E7" s="5">
        <v>553</v>
      </c>
      <c r="F7" s="5">
        <v>857</v>
      </c>
      <c r="G7" s="5">
        <v>209</v>
      </c>
      <c r="H7" s="5">
        <v>4300</v>
      </c>
      <c r="I7" s="5">
        <v>5</v>
      </c>
    </row>
    <row r="8" spans="1:9" x14ac:dyDescent="0.25">
      <c r="A8" t="s">
        <v>64</v>
      </c>
      <c r="B8" s="5">
        <v>794</v>
      </c>
      <c r="C8" s="5">
        <v>711</v>
      </c>
      <c r="D8" s="5">
        <v>47</v>
      </c>
      <c r="E8" s="5">
        <v>474</v>
      </c>
      <c r="F8" s="5">
        <v>800</v>
      </c>
      <c r="G8" s="5">
        <v>208</v>
      </c>
      <c r="H8" s="5">
        <v>2500</v>
      </c>
      <c r="I8" s="5">
        <v>2</v>
      </c>
    </row>
    <row r="9" spans="1:9" x14ac:dyDescent="0.25">
      <c r="A9" s="3" t="s">
        <v>2</v>
      </c>
      <c r="B9" s="5">
        <v>2.16</v>
      </c>
      <c r="C9" s="5">
        <v>1.31</v>
      </c>
      <c r="D9" s="5">
        <v>1.24</v>
      </c>
      <c r="E9" s="5">
        <v>3.51</v>
      </c>
      <c r="F9" s="5">
        <v>10.01</v>
      </c>
      <c r="G9" s="5">
        <v>2.57</v>
      </c>
      <c r="H9" s="5"/>
      <c r="I9" s="5"/>
    </row>
    <row r="11" spans="1:9" x14ac:dyDescent="0.25">
      <c r="A11" s="12" t="s">
        <v>16</v>
      </c>
      <c r="B11" s="11"/>
    </row>
    <row r="12" spans="1:9" x14ac:dyDescent="0.25">
      <c r="A12" s="11" t="s">
        <v>19</v>
      </c>
      <c r="B12" s="16" t="s">
        <v>22</v>
      </c>
      <c r="C12" s="16"/>
      <c r="D12" s="16"/>
      <c r="E12" s="16"/>
      <c r="F12" s="16"/>
      <c r="G12" s="16"/>
      <c r="H12" s="13" t="s">
        <v>23</v>
      </c>
    </row>
    <row r="13" spans="1:9" x14ac:dyDescent="0.25">
      <c r="A13" s="11"/>
      <c r="B13" t="s">
        <v>65</v>
      </c>
      <c r="C13" t="s">
        <v>66</v>
      </c>
      <c r="D13" t="s">
        <v>68</v>
      </c>
      <c r="E13" t="s">
        <v>70</v>
      </c>
      <c r="F13" t="s">
        <v>71</v>
      </c>
      <c r="G13" t="s">
        <v>67</v>
      </c>
      <c r="H13" s="11"/>
    </row>
    <row r="14" spans="1:9" x14ac:dyDescent="0.25">
      <c r="A14" t="s">
        <v>60</v>
      </c>
      <c r="B14">
        <v>0</v>
      </c>
      <c r="C14">
        <v>0</v>
      </c>
      <c r="D14">
        <v>0.49000000021739154</v>
      </c>
      <c r="E14">
        <v>3.5099999997826083</v>
      </c>
      <c r="F14">
        <v>0</v>
      </c>
      <c r="G14">
        <v>0</v>
      </c>
      <c r="H14">
        <v>1</v>
      </c>
    </row>
    <row r="15" spans="1:9" x14ac:dyDescent="0.25">
      <c r="A15" t="s">
        <v>61</v>
      </c>
      <c r="B15">
        <v>2.1599999900000002</v>
      </c>
      <c r="C15">
        <v>1.3100000000000005</v>
      </c>
      <c r="D15">
        <v>2.1739130851428803E-10</v>
      </c>
      <c r="E15">
        <v>0</v>
      </c>
      <c r="F15">
        <v>2.530000009565216</v>
      </c>
      <c r="G15">
        <v>2.1739130851428803E-10</v>
      </c>
      <c r="H15">
        <v>1</v>
      </c>
    </row>
    <row r="16" spans="1:9" x14ac:dyDescent="0.25">
      <c r="A16" t="s">
        <v>62</v>
      </c>
      <c r="B16">
        <v>0</v>
      </c>
      <c r="C16">
        <v>0</v>
      </c>
      <c r="D16">
        <v>2.1739130851428803E-10</v>
      </c>
      <c r="E16">
        <v>2.1739130851428803E-10</v>
      </c>
      <c r="F16">
        <v>6.9999999935835193</v>
      </c>
      <c r="G16">
        <v>2.1739130851428803E-10</v>
      </c>
      <c r="H16">
        <v>1</v>
      </c>
    </row>
    <row r="17" spans="1:8" x14ac:dyDescent="0.25">
      <c r="A17" t="s">
        <v>63</v>
      </c>
      <c r="B17">
        <v>0</v>
      </c>
      <c r="C17">
        <v>0</v>
      </c>
      <c r="D17">
        <v>0.74999999934782446</v>
      </c>
      <c r="E17">
        <v>0</v>
      </c>
      <c r="F17">
        <v>0.47999999685126415</v>
      </c>
      <c r="G17">
        <v>2.5699999995652179</v>
      </c>
      <c r="H17">
        <v>1</v>
      </c>
    </row>
    <row r="18" spans="1:8" x14ac:dyDescent="0.25">
      <c r="A18" t="s">
        <v>64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</row>
    <row r="20" spans="1:8" x14ac:dyDescent="0.25">
      <c r="A20" s="6" t="s">
        <v>17</v>
      </c>
    </row>
    <row r="21" spans="1:8" x14ac:dyDescent="0.25">
      <c r="A21" t="s">
        <v>19</v>
      </c>
      <c r="B21" s="11" t="s">
        <v>24</v>
      </c>
      <c r="C21" s="11"/>
      <c r="D21" s="11"/>
      <c r="E21" s="11"/>
      <c r="F21" s="11"/>
      <c r="G21" s="11"/>
    </row>
    <row r="22" spans="1:8" x14ac:dyDescent="0.25">
      <c r="A22" t="s">
        <v>60</v>
      </c>
      <c r="B22">
        <f t="shared" ref="B22:B26" si="0">I4*H14 - SUM(B14:G14)</f>
        <v>0</v>
      </c>
    </row>
    <row r="23" spans="1:8" x14ac:dyDescent="0.25">
      <c r="A23" t="s">
        <v>61</v>
      </c>
      <c r="B23">
        <f t="shared" si="0"/>
        <v>0</v>
      </c>
    </row>
    <row r="24" spans="1:8" x14ac:dyDescent="0.25">
      <c r="A24" t="s">
        <v>62</v>
      </c>
      <c r="B24">
        <f t="shared" si="0"/>
        <v>5.7643063655632432E-9</v>
      </c>
    </row>
    <row r="25" spans="1:8" x14ac:dyDescent="0.25">
      <c r="A25" t="s">
        <v>63</v>
      </c>
      <c r="B25">
        <f t="shared" si="0"/>
        <v>1.2000000042356938</v>
      </c>
    </row>
    <row r="26" spans="1:8" x14ac:dyDescent="0.25">
      <c r="A26" t="s">
        <v>64</v>
      </c>
      <c r="B26">
        <f t="shared" si="0"/>
        <v>0</v>
      </c>
    </row>
    <row r="28" spans="1:8" x14ac:dyDescent="0.25">
      <c r="B28" t="s">
        <v>65</v>
      </c>
      <c r="C28" t="s">
        <v>66</v>
      </c>
      <c r="D28" t="s">
        <v>68</v>
      </c>
      <c r="E28" t="s">
        <v>70</v>
      </c>
      <c r="F28" t="s">
        <v>71</v>
      </c>
      <c r="G28" t="s">
        <v>67</v>
      </c>
    </row>
    <row r="29" spans="1:8" x14ac:dyDescent="0.25">
      <c r="A29" s="3" t="s">
        <v>26</v>
      </c>
      <c r="B29">
        <f t="shared" ref="B29:G29" si="1">B9 - SUM(B14:B18)</f>
        <v>9.9999999392252903E-9</v>
      </c>
      <c r="C29">
        <f t="shared" si="1"/>
        <v>0</v>
      </c>
      <c r="D29">
        <f t="shared" si="1"/>
        <v>0</v>
      </c>
      <c r="E29">
        <f t="shared" si="1"/>
        <v>0</v>
      </c>
      <c r="F29">
        <f t="shared" si="1"/>
        <v>0</v>
      </c>
      <c r="G29">
        <f t="shared" si="1"/>
        <v>0</v>
      </c>
    </row>
    <row r="31" spans="1:8" x14ac:dyDescent="0.25">
      <c r="A31" s="6" t="s">
        <v>18</v>
      </c>
    </row>
    <row r="32" spans="1:8" x14ac:dyDescent="0.25">
      <c r="A32" t="s">
        <v>25</v>
      </c>
      <c r="B32">
        <f>SUMPRODUCT(B4:G8,B14:G18) + SUMPRODUCT(H4:H8, H14:H18)</f>
        <v>17814.639998157618</v>
      </c>
    </row>
  </sheetData>
  <mergeCells count="10">
    <mergeCell ref="B21:G21"/>
    <mergeCell ref="A1:D1"/>
    <mergeCell ref="A2:A3"/>
    <mergeCell ref="H2:H3"/>
    <mergeCell ref="I2:I3"/>
    <mergeCell ref="B2:G2"/>
    <mergeCell ref="A11:B11"/>
    <mergeCell ref="A12:A13"/>
    <mergeCell ref="B12:G12"/>
    <mergeCell ref="H12:H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Solver">
              <controlPr defaultSize="0" print="0" autoFill="0" autoPict="0" macro="[0]!SolverHelper">
                <anchor moveWithCells="1" sizeWithCells="1">
                  <from>
                    <xdr:col>4</xdr:col>
                    <xdr:colOff>9525</xdr:colOff>
                    <xdr:row>21</xdr:row>
                    <xdr:rowOff>19050</xdr:rowOff>
                  </from>
                  <to>
                    <xdr:col>5</xdr:col>
                    <xdr:colOff>428625</xdr:colOff>
                    <xdr:row>23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5"/>
  <sheetViews>
    <sheetView workbookViewId="0">
      <selection activeCell="J22" sqref="J22"/>
    </sheetView>
  </sheetViews>
  <sheetFormatPr defaultRowHeight="15" x14ac:dyDescent="0.25"/>
  <sheetData>
    <row r="1" spans="1:12" x14ac:dyDescent="0.25">
      <c r="A1" s="4" t="s">
        <v>27</v>
      </c>
      <c r="G1" s="4" t="s">
        <v>30</v>
      </c>
    </row>
    <row r="3" spans="1:12" x14ac:dyDescent="0.25">
      <c r="A3" s="4" t="s">
        <v>28</v>
      </c>
      <c r="G3" s="4" t="s">
        <v>28</v>
      </c>
    </row>
    <row r="4" spans="1:12" x14ac:dyDescent="0.25">
      <c r="A4" t="s">
        <v>33</v>
      </c>
      <c r="E4">
        <v>198449</v>
      </c>
      <c r="G4" t="s">
        <v>41</v>
      </c>
      <c r="L4">
        <v>3816.3269230769229</v>
      </c>
    </row>
    <row r="5" spans="1:12" x14ac:dyDescent="0.25">
      <c r="A5" t="s">
        <v>34</v>
      </c>
      <c r="E5">
        <v>0.2</v>
      </c>
      <c r="G5" t="s">
        <v>42</v>
      </c>
      <c r="L5">
        <v>2</v>
      </c>
    </row>
    <row r="6" spans="1:12" x14ac:dyDescent="0.25">
      <c r="A6" t="s">
        <v>35</v>
      </c>
      <c r="E6">
        <v>100</v>
      </c>
      <c r="G6" t="s">
        <v>43</v>
      </c>
      <c r="L6">
        <v>1500</v>
      </c>
    </row>
    <row r="7" spans="1:12" x14ac:dyDescent="0.25">
      <c r="A7" t="s">
        <v>36</v>
      </c>
      <c r="E7">
        <v>400</v>
      </c>
      <c r="G7" t="s">
        <v>44</v>
      </c>
      <c r="L7">
        <v>0.95000000000000007</v>
      </c>
    </row>
    <row r="9" spans="1:12" x14ac:dyDescent="0.25">
      <c r="A9" s="4" t="s">
        <v>29</v>
      </c>
      <c r="G9" s="4" t="s">
        <v>31</v>
      </c>
    </row>
    <row r="10" spans="1:12" x14ac:dyDescent="0.25">
      <c r="A10" t="s">
        <v>37</v>
      </c>
      <c r="E10">
        <v>2817.4385530122922</v>
      </c>
      <c r="G10" t="s">
        <v>45</v>
      </c>
      <c r="L10">
        <v>7632.6538461538457</v>
      </c>
    </row>
    <row r="11" spans="1:12" x14ac:dyDescent="0.25">
      <c r="A11" t="s">
        <v>38</v>
      </c>
      <c r="E11">
        <v>70.435963825307311</v>
      </c>
      <c r="G11" t="s">
        <v>46</v>
      </c>
      <c r="L11">
        <v>2121.3203435596429</v>
      </c>
    </row>
    <row r="12" spans="1:12" x14ac:dyDescent="0.25">
      <c r="A12" t="s">
        <v>39</v>
      </c>
      <c r="E12">
        <v>1408.7192765061461</v>
      </c>
    </row>
    <row r="13" spans="1:12" x14ac:dyDescent="0.25">
      <c r="A13" t="s">
        <v>40</v>
      </c>
      <c r="E13">
        <v>5.182011861231282</v>
      </c>
      <c r="G13" s="4" t="s">
        <v>32</v>
      </c>
    </row>
    <row r="14" spans="1:12" x14ac:dyDescent="0.25">
      <c r="G14" t="s">
        <v>47</v>
      </c>
      <c r="L14">
        <v>3489.2614610300234</v>
      </c>
    </row>
    <row r="15" spans="1:12" x14ac:dyDescent="0.25">
      <c r="G15" t="s">
        <v>48</v>
      </c>
      <c r="L15">
        <v>11121.91530718387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8"/>
  <sheetViews>
    <sheetView workbookViewId="0">
      <selection sqref="A1:G21"/>
    </sheetView>
  </sheetViews>
  <sheetFormatPr defaultRowHeight="15" x14ac:dyDescent="0.25"/>
  <sheetData>
    <row r="1" spans="1:7" x14ac:dyDescent="0.25">
      <c r="A1" t="s">
        <v>72</v>
      </c>
    </row>
    <row r="2" spans="1:7" ht="15.75" thickBot="1" x14ac:dyDescent="0.3"/>
    <row r="3" spans="1:7" x14ac:dyDescent="0.25">
      <c r="A3" s="10" t="s">
        <v>73</v>
      </c>
      <c r="B3" s="10"/>
    </row>
    <row r="4" spans="1:7" x14ac:dyDescent="0.25">
      <c r="A4" s="7" t="s">
        <v>74</v>
      </c>
      <c r="B4" s="7">
        <v>0.93146959945426733</v>
      </c>
    </row>
    <row r="5" spans="1:7" x14ac:dyDescent="0.25">
      <c r="A5" s="7" t="s">
        <v>75</v>
      </c>
      <c r="B5" s="7">
        <v>0.86763561470749317</v>
      </c>
    </row>
    <row r="6" spans="1:7" x14ac:dyDescent="0.25">
      <c r="A6" s="7" t="s">
        <v>76</v>
      </c>
      <c r="B6" s="7">
        <v>0.85439917617824257</v>
      </c>
    </row>
    <row r="7" spans="1:7" x14ac:dyDescent="0.25">
      <c r="A7" s="7" t="s">
        <v>77</v>
      </c>
      <c r="B7" s="7">
        <v>7952.5379859774921</v>
      </c>
    </row>
    <row r="8" spans="1:7" ht="15.75" thickBot="1" x14ac:dyDescent="0.3">
      <c r="A8" s="8" t="s">
        <v>78</v>
      </c>
      <c r="B8" s="8">
        <v>12</v>
      </c>
    </row>
    <row r="10" spans="1:7" ht="15.75" thickBot="1" x14ac:dyDescent="0.3">
      <c r="A10" t="s">
        <v>79</v>
      </c>
    </row>
    <row r="11" spans="1:7" x14ac:dyDescent="0.25">
      <c r="A11" s="9"/>
      <c r="B11" s="9" t="s">
        <v>84</v>
      </c>
      <c r="C11" s="9" t="s">
        <v>85</v>
      </c>
      <c r="D11" s="9" t="s">
        <v>86</v>
      </c>
      <c r="E11" s="9" t="s">
        <v>87</v>
      </c>
      <c r="F11" s="9" t="s">
        <v>88</v>
      </c>
    </row>
    <row r="12" spans="1:7" x14ac:dyDescent="0.25">
      <c r="A12" s="7" t="s">
        <v>80</v>
      </c>
      <c r="B12" s="7">
        <v>1</v>
      </c>
      <c r="C12" s="7">
        <v>4145507717.4825172</v>
      </c>
      <c r="D12" s="7">
        <v>4145507717.4825172</v>
      </c>
      <c r="E12" s="7">
        <v>65.549023084279014</v>
      </c>
      <c r="F12" s="7">
        <v>1.0602433252173784E-5</v>
      </c>
    </row>
    <row r="13" spans="1:7" x14ac:dyDescent="0.25">
      <c r="A13" s="7" t="s">
        <v>81</v>
      </c>
      <c r="B13" s="7">
        <v>10</v>
      </c>
      <c r="C13" s="7">
        <v>632428604.1841495</v>
      </c>
      <c r="D13" s="7">
        <v>63242860.41841495</v>
      </c>
      <c r="E13" s="7"/>
      <c r="F13" s="7"/>
    </row>
    <row r="14" spans="1:7" ht="15.75" thickBot="1" x14ac:dyDescent="0.3">
      <c r="A14" s="8" t="s">
        <v>82</v>
      </c>
      <c r="B14" s="8">
        <v>11</v>
      </c>
      <c r="C14" s="8">
        <v>4777936321.666667</v>
      </c>
      <c r="D14" s="8"/>
      <c r="E14" s="8"/>
      <c r="F14" s="8"/>
    </row>
    <row r="15" spans="1:7" ht="15.75" thickBot="1" x14ac:dyDescent="0.3"/>
    <row r="16" spans="1:7" x14ac:dyDescent="0.25">
      <c r="A16" s="9"/>
      <c r="B16" s="9" t="s">
        <v>89</v>
      </c>
      <c r="C16" s="9" t="s">
        <v>77</v>
      </c>
      <c r="D16" s="9" t="s">
        <v>90</v>
      </c>
      <c r="E16" s="9" t="s">
        <v>91</v>
      </c>
      <c r="F16" s="9" t="s">
        <v>92</v>
      </c>
      <c r="G16" s="9" t="s">
        <v>93</v>
      </c>
    </row>
    <row r="17" spans="1:7" x14ac:dyDescent="0.25">
      <c r="A17" s="7" t="s">
        <v>83</v>
      </c>
      <c r="B17" s="7">
        <v>-14195.106060606053</v>
      </c>
      <c r="C17" s="7">
        <v>4894.4487888187477</v>
      </c>
      <c r="D17" s="7">
        <v>-2.9002461100490899</v>
      </c>
      <c r="E17" s="7">
        <v>1.5826925984804653E-2</v>
      </c>
      <c r="F17" s="7">
        <v>-25100.617566030269</v>
      </c>
      <c r="G17" s="7">
        <v>-3289.5945551818368</v>
      </c>
    </row>
    <row r="18" spans="1:7" ht="15.75" thickBot="1" x14ac:dyDescent="0.3">
      <c r="A18" s="8" t="s">
        <v>94</v>
      </c>
      <c r="B18" s="8">
        <v>5384.1958041958032</v>
      </c>
      <c r="C18" s="8">
        <v>665.02463500515603</v>
      </c>
      <c r="D18" s="8">
        <v>8.0962351178976384</v>
      </c>
      <c r="E18" s="8">
        <v>1.0602433252173803E-5</v>
      </c>
      <c r="F18" s="8">
        <v>3902.4285774128239</v>
      </c>
      <c r="G18" s="8">
        <v>6865.9630309787826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1"/>
  <sheetViews>
    <sheetView tabSelected="1" zoomScaleNormal="100" workbookViewId="0">
      <selection activeCell="H21" sqref="H21"/>
    </sheetView>
  </sheetViews>
  <sheetFormatPr defaultRowHeight="15" x14ac:dyDescent="0.25"/>
  <cols>
    <col min="1" max="1" width="14.28515625" customWidth="1"/>
    <col min="3" max="4" width="15.7109375" customWidth="1"/>
    <col min="7" max="7" width="9.85546875" customWidth="1"/>
    <col min="8" max="8" width="12" customWidth="1"/>
    <col min="9" max="9" width="12.42578125" customWidth="1"/>
    <col min="10" max="10" width="12.5703125" customWidth="1"/>
    <col min="11" max="11" width="24.42578125" customWidth="1"/>
    <col min="12" max="12" width="11.42578125" customWidth="1"/>
    <col min="13" max="13" width="17.5703125" customWidth="1"/>
  </cols>
  <sheetData>
    <row r="1" spans="1:15" x14ac:dyDescent="0.25">
      <c r="A1" t="s">
        <v>0</v>
      </c>
      <c r="C1" s="1"/>
      <c r="D1" s="1"/>
      <c r="E1" s="1"/>
      <c r="F1" s="1"/>
      <c r="G1" s="1"/>
      <c r="I1" s="1"/>
    </row>
    <row r="2" spans="1:15" x14ac:dyDescent="0.25">
      <c r="A2" s="2">
        <v>2261</v>
      </c>
      <c r="B2">
        <v>4567</v>
      </c>
    </row>
    <row r="3" spans="1:15" x14ac:dyDescent="0.25">
      <c r="A3" s="2">
        <v>2600</v>
      </c>
      <c r="B3">
        <v>3530</v>
      </c>
      <c r="C3" s="1"/>
      <c r="D3" s="1"/>
      <c r="E3" s="1"/>
      <c r="F3" s="1"/>
      <c r="G3" s="1"/>
      <c r="H3" t="s">
        <v>3</v>
      </c>
      <c r="I3" s="1" t="s">
        <v>4</v>
      </c>
      <c r="J3" t="s">
        <v>5</v>
      </c>
      <c r="K3" s="1" t="s">
        <v>6</v>
      </c>
      <c r="L3" t="s">
        <v>7</v>
      </c>
      <c r="M3" s="1" t="s">
        <v>8</v>
      </c>
      <c r="N3" t="s">
        <v>14</v>
      </c>
      <c r="O3" s="1" t="s">
        <v>1</v>
      </c>
    </row>
    <row r="4" spans="1:15" x14ac:dyDescent="0.25">
      <c r="A4" s="2">
        <v>2990</v>
      </c>
      <c r="B4">
        <v>4909</v>
      </c>
      <c r="G4" t="s">
        <v>9</v>
      </c>
      <c r="H4">
        <v>774</v>
      </c>
      <c r="I4">
        <v>682</v>
      </c>
      <c r="J4">
        <v>22</v>
      </c>
      <c r="K4">
        <v>445</v>
      </c>
      <c r="L4">
        <v>770</v>
      </c>
      <c r="M4">
        <v>237</v>
      </c>
      <c r="N4">
        <v>2200</v>
      </c>
      <c r="O4">
        <v>4</v>
      </c>
    </row>
    <row r="5" spans="1:15" x14ac:dyDescent="0.25">
      <c r="A5" s="2">
        <v>4485</v>
      </c>
      <c r="B5">
        <v>14627</v>
      </c>
      <c r="C5" s="2"/>
      <c r="G5" t="s">
        <v>10</v>
      </c>
      <c r="H5">
        <v>88</v>
      </c>
      <c r="I5">
        <v>10</v>
      </c>
      <c r="J5">
        <v>676</v>
      </c>
      <c r="K5">
        <v>308</v>
      </c>
      <c r="L5">
        <v>233</v>
      </c>
      <c r="M5">
        <v>911</v>
      </c>
      <c r="N5">
        <v>3100</v>
      </c>
      <c r="O5">
        <v>6</v>
      </c>
    </row>
    <row r="6" spans="1:15" x14ac:dyDescent="0.25">
      <c r="A6" s="2">
        <v>6728</v>
      </c>
      <c r="B6">
        <v>7097</v>
      </c>
      <c r="C6" s="2"/>
      <c r="G6" t="s">
        <v>11</v>
      </c>
      <c r="H6">
        <v>22</v>
      </c>
      <c r="I6">
        <v>80</v>
      </c>
      <c r="J6">
        <v>725</v>
      </c>
      <c r="K6">
        <v>347</v>
      </c>
      <c r="L6">
        <v>159</v>
      </c>
      <c r="M6">
        <v>960</v>
      </c>
      <c r="N6">
        <v>3700</v>
      </c>
      <c r="O6">
        <v>7</v>
      </c>
    </row>
    <row r="7" spans="1:15" x14ac:dyDescent="0.25">
      <c r="A7" s="2">
        <v>10092</v>
      </c>
      <c r="B7">
        <v>4339</v>
      </c>
      <c r="C7" s="2"/>
      <c r="G7" t="s">
        <v>12</v>
      </c>
      <c r="H7">
        <v>852</v>
      </c>
      <c r="I7">
        <v>768</v>
      </c>
      <c r="J7">
        <v>117</v>
      </c>
      <c r="K7">
        <v>553</v>
      </c>
      <c r="L7">
        <v>857</v>
      </c>
      <c r="M7">
        <v>209</v>
      </c>
      <c r="N7">
        <v>4300</v>
      </c>
      <c r="O7">
        <v>5</v>
      </c>
    </row>
    <row r="8" spans="1:15" x14ac:dyDescent="0.25">
      <c r="A8" s="2">
        <v>15137</v>
      </c>
      <c r="B8">
        <v>6970</v>
      </c>
      <c r="C8" s="2"/>
      <c r="G8" t="s">
        <v>13</v>
      </c>
      <c r="H8">
        <v>794</v>
      </c>
      <c r="I8">
        <v>711</v>
      </c>
      <c r="J8">
        <v>47</v>
      </c>
      <c r="K8">
        <v>474</v>
      </c>
      <c r="L8">
        <v>800</v>
      </c>
      <c r="M8">
        <v>208</v>
      </c>
      <c r="N8">
        <v>2500</v>
      </c>
      <c r="O8">
        <v>2</v>
      </c>
    </row>
    <row r="9" spans="1:15" x14ac:dyDescent="0.25">
      <c r="A9" s="2">
        <v>22706</v>
      </c>
      <c r="B9">
        <v>14168</v>
      </c>
      <c r="C9" s="2"/>
      <c r="G9" t="s">
        <v>2</v>
      </c>
      <c r="H9">
        <v>2.16</v>
      </c>
      <c r="I9">
        <v>1.31</v>
      </c>
      <c r="J9">
        <v>1.24</v>
      </c>
      <c r="K9">
        <v>3.51</v>
      </c>
      <c r="L9">
        <v>10.01</v>
      </c>
      <c r="M9">
        <v>2.57</v>
      </c>
    </row>
    <row r="10" spans="1:15" x14ac:dyDescent="0.25">
      <c r="A10" s="2">
        <v>29518</v>
      </c>
      <c r="B10">
        <v>8322</v>
      </c>
      <c r="C10" s="2"/>
    </row>
    <row r="11" spans="1:15" x14ac:dyDescent="0.25">
      <c r="A11" s="2">
        <v>38373</v>
      </c>
      <c r="B11">
        <v>5612</v>
      </c>
      <c r="C11" s="2"/>
    </row>
    <row r="12" spans="1:15" x14ac:dyDescent="0.25">
      <c r="A12" s="2">
        <v>49885</v>
      </c>
      <c r="B12">
        <v>5200</v>
      </c>
      <c r="C12" s="2"/>
      <c r="G12" s="4" t="s">
        <v>49</v>
      </c>
    </row>
    <row r="13" spans="1:15" x14ac:dyDescent="0.25">
      <c r="A13" s="2">
        <v>64851</v>
      </c>
      <c r="B13">
        <v>16563</v>
      </c>
      <c r="C13" s="2"/>
      <c r="E13" s="2">
        <v>255346.3</v>
      </c>
      <c r="G13" s="4" t="s">
        <v>50</v>
      </c>
      <c r="H13" s="4" t="s">
        <v>53</v>
      </c>
      <c r="I13" s="4" t="s">
        <v>54</v>
      </c>
      <c r="J13" s="4" t="s">
        <v>52</v>
      </c>
      <c r="K13" s="4" t="s">
        <v>55</v>
      </c>
      <c r="L13" s="4" t="s">
        <v>56</v>
      </c>
      <c r="M13" s="4" t="s">
        <v>57</v>
      </c>
      <c r="O13" s="4" t="s">
        <v>69</v>
      </c>
    </row>
    <row r="14" spans="1:15" x14ac:dyDescent="0.25">
      <c r="B14">
        <v>11036</v>
      </c>
      <c r="C14" s="2"/>
      <c r="G14" t="s">
        <v>58</v>
      </c>
      <c r="H14">
        <v>0.2</v>
      </c>
      <c r="I14">
        <v>100</v>
      </c>
      <c r="J14">
        <v>600</v>
      </c>
      <c r="K14">
        <v>381</v>
      </c>
      <c r="L14">
        <v>95</v>
      </c>
      <c r="M14">
        <v>1.5</v>
      </c>
      <c r="O14">
        <v>2.5</v>
      </c>
    </row>
    <row r="15" spans="1:15" x14ac:dyDescent="0.25">
      <c r="B15">
        <v>8845</v>
      </c>
      <c r="C15" s="2"/>
      <c r="G15" t="s">
        <v>59</v>
      </c>
      <c r="H15">
        <v>0.2</v>
      </c>
      <c r="I15">
        <v>100</v>
      </c>
      <c r="J15">
        <v>900</v>
      </c>
      <c r="K15">
        <v>381</v>
      </c>
      <c r="L15">
        <v>95</v>
      </c>
      <c r="M15">
        <v>0.5</v>
      </c>
    </row>
    <row r="16" spans="1:15" x14ac:dyDescent="0.25">
      <c r="B16">
        <v>8715</v>
      </c>
      <c r="C16" s="2"/>
      <c r="G16" t="s">
        <v>51</v>
      </c>
      <c r="H16">
        <v>0.2</v>
      </c>
      <c r="I16">
        <v>100</v>
      </c>
      <c r="J16">
        <v>400</v>
      </c>
      <c r="K16">
        <v>381</v>
      </c>
      <c r="L16">
        <v>95</v>
      </c>
      <c r="M16">
        <v>2</v>
      </c>
    </row>
    <row r="17" spans="2:2" x14ac:dyDescent="0.25">
      <c r="B17">
        <v>24160</v>
      </c>
    </row>
    <row r="18" spans="2:2" x14ac:dyDescent="0.25">
      <c r="B18">
        <v>11381</v>
      </c>
    </row>
    <row r="19" spans="2:2" x14ac:dyDescent="0.25">
      <c r="B19">
        <v>7474</v>
      </c>
    </row>
    <row r="20" spans="2:2" x14ac:dyDescent="0.25">
      <c r="B20">
        <v>9782</v>
      </c>
    </row>
    <row r="21" spans="2:2" x14ac:dyDescent="0.25">
      <c r="B21">
        <v>26254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2</xdr:col>
                    <xdr:colOff>866775</xdr:colOff>
                    <xdr:row>0</xdr:row>
                    <xdr:rowOff>180975</xdr:rowOff>
                  </from>
                  <to>
                    <xdr:col>3</xdr:col>
                    <xdr:colOff>1038225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Facilities</vt:lpstr>
      <vt:lpstr>Inventory</vt:lpstr>
      <vt:lpstr>RegressHolts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Avis</dc:creator>
  <cp:lastModifiedBy>Sean</cp:lastModifiedBy>
  <dcterms:created xsi:type="dcterms:W3CDTF">2015-02-20T18:17:30Z</dcterms:created>
  <dcterms:modified xsi:type="dcterms:W3CDTF">2016-01-06T20:52:05Z</dcterms:modified>
</cp:coreProperties>
</file>